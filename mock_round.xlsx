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729c9b2539dd18/Desktop/Set_A_Sales_Practice/Excel/"/>
    </mc:Choice>
  </mc:AlternateContent>
  <xr:revisionPtr revIDLastSave="0" documentId="8_{3E3C3489-B1A0-43DD-AF01-CF7092311E28}" xr6:coauthVersionLast="47" xr6:coauthVersionMax="47" xr10:uidLastSave="{00000000-0000-0000-0000-000000000000}"/>
  <bookViews>
    <workbookView xWindow="-96" yWindow="0" windowWidth="11712" windowHeight="12336" xr2:uid="{0DAD800D-C7D2-4CDA-B623-F73D99D48517}"/>
  </bookViews>
  <sheets>
    <sheet name="Raw sheet" sheetId="1" r:id="rId1"/>
    <sheet name="Lookup sheet" sheetId="3" r:id="rId2"/>
    <sheet name="Clean" sheetId="8" r:id="rId3"/>
    <sheet name="Summary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9" l="1"/>
  <c r="E4" i="9"/>
  <c r="B3" i="9"/>
  <c r="B4" i="9"/>
  <c r="B2" i="9"/>
  <c r="F3" i="9"/>
  <c r="G3" i="9"/>
  <c r="E3" i="9"/>
  <c r="G4" i="9"/>
  <c r="L3" i="8"/>
  <c r="G12" i="8"/>
  <c r="H12" i="8"/>
  <c r="G13" i="8"/>
  <c r="H13" i="8"/>
  <c r="L2" i="8"/>
  <c r="G2" i="8"/>
  <c r="H2" i="8"/>
  <c r="G3" i="8"/>
  <c r="H3" i="8"/>
  <c r="G4" i="8"/>
  <c r="H4" i="8"/>
  <c r="G5" i="8"/>
  <c r="H5" i="8"/>
  <c r="G6" i="8"/>
  <c r="H6" i="8"/>
  <c r="G7" i="8"/>
  <c r="H7" i="8"/>
  <c r="G8" i="8"/>
  <c r="H8" i="8"/>
  <c r="G9" i="8"/>
  <c r="H9" i="8"/>
  <c r="G10" i="8"/>
  <c r="H10" i="8"/>
  <c r="G11" i="8"/>
  <c r="H1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6A5F0B-5F09-4E78-98BE-D3796949CD75}" keepAlive="1" name="Query - Teams csv" description="Connection to the 'Teams csv' query in the workbook." type="5" refreshedVersion="0" background="1">
    <dbPr connection="Provider=Microsoft.Mashup.OleDb.1;Data Source=$Workbook$;Location=&quot;Teams csv&quot;;Extended Properties=&quot;&quot;" command="SELECT * FROM [Teams csv]"/>
  </connection>
  <connection id="2" xr16:uid="{C5FF69CD-3FD7-49C4-A793-36FDC39D7418}" keepAlive="1" name="Query - Teams csv (2)" description="Connection to the 'Teams csv (2)' query in the workbook." type="5" refreshedVersion="0" background="1">
    <dbPr connection="Provider=Microsoft.Mashup.OleDb.1;Data Source=$Workbook$;Location=&quot;Teams csv (2)&quot;;Extended Properties=&quot;&quot;" command="SELECT * FROM [Teams csv (2)]"/>
  </connection>
  <connection id="3" xr16:uid="{EA5881B0-7B7D-4D08-9822-80D8364E9428}" keepAlive="1" name="Query - Tickets csv" description="Connection to the 'Tickets csv' query in the workbook." type="5" refreshedVersion="8" background="1" saveData="1">
    <dbPr connection="Provider=Microsoft.Mashup.OleDb.1;Data Source=$Workbook$;Location=&quot;Tickets csv&quot;;Extended Properties=&quot;&quot;" command="SELECT * FROM [Tickets csv]"/>
  </connection>
  <connection id="4" xr16:uid="{F5D795FD-2D2D-4E55-900F-A8B1746F12D0}" keepAlive="1" name="Query - Tickets csv (2)" description="Connection to the 'Tickets csv (2)' query in the workbook." type="5" refreshedVersion="8" background="1" saveData="1">
    <dbPr connection="Provider=Microsoft.Mashup.OleDb.1;Data Source=$Workbook$;Location=&quot;Tickets csv (2)&quot;;Extended Properties=&quot;&quot;" command="SELECT * FROM [Tickets csv (2)]"/>
  </connection>
</connections>
</file>

<file path=xl/sharedStrings.xml><?xml version="1.0" encoding="utf-8"?>
<sst xmlns="http://schemas.openxmlformats.org/spreadsheetml/2006/main" count="119" uniqueCount="32">
  <si>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</si>
  <si>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</si>
  <si>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</si>
  <si>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</si>
  <si>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</si>
  <si>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</si>
  <si>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</si>
  <si>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</si>
  <si>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</si>
  <si>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</si>
  <si>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</si>
  <si>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</si>
  <si>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</si>
  <si>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</si>
  <si>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</si>
  <si>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</si>
  <si>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</si>
  <si>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</si>
  <si>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</si>
  <si>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</si>
  <si>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</si>
  <si>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</si>
  <si>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</si>
  <si>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</si>
  <si>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Department</t>
  </si>
  <si>
    <t>After</t>
  </si>
  <si>
    <t>Before</t>
  </si>
  <si>
    <t>Cleaning counts</t>
  </si>
  <si>
    <t>breach_flag</t>
  </si>
  <si>
    <t>Average resolution hours by department and month</t>
  </si>
  <si>
    <t>Count</t>
  </si>
  <si>
    <t>Breached tickets by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</si>
</sst>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resolution hours by department and month</a:t>
            </a:r>
            <a:r>
              <a:rPr lang="en-US" sz="1400" b="0" i="0" u="none" strike="noStrike" baseline="0">
                <a:effectLst/>
              </a:rPr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Summary!$A$3:$D$3</c:f>
              <c:strCache>
                <c:ptCount val="4"/>
                <c:pt idx="0">
                  <c:v>Chat</c:v>
                </c:pt>
                <c:pt idx="1">
                  <c:v>3</c:v>
                </c:pt>
                <c:pt idx="3">
                  <c:v>Service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Summary!$E$1:$G$2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Summary!$E$3:$G$3</c:f>
              <c:numCache>
                <c:formatCode>General</c:formatCode>
                <c:ptCount val="3"/>
                <c:pt idx="0">
                  <c:v>20</c:v>
                </c:pt>
                <c:pt idx="1">
                  <c:v>19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E-43F0-BFA0-12498F88680D}"/>
            </c:ext>
          </c:extLst>
        </c:ser>
        <c:ser>
          <c:idx val="1"/>
          <c:order val="1"/>
          <c:tx>
            <c:strRef>
              <c:f>Summary!$A$4:$D$4</c:f>
              <c:strCache>
                <c:ptCount val="4"/>
                <c:pt idx="0">
                  <c:v>Phone</c:v>
                </c:pt>
                <c:pt idx="1">
                  <c:v>2</c:v>
                </c:pt>
                <c:pt idx="3">
                  <c:v>Technical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Summary!$E$1:$G$2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Summary!$E$4:$G$4</c:f>
              <c:numCache>
                <c:formatCode>General</c:formatCode>
                <c:ptCount val="3"/>
                <c:pt idx="0">
                  <c:v>28</c:v>
                </c:pt>
                <c:pt idx="1">
                  <c:v>29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E-43F0-BFA0-12498F8868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3412623"/>
        <c:axId val="273136528"/>
      </c:barChart>
      <c:catAx>
        <c:axId val="201341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36528"/>
        <c:crosses val="autoZero"/>
        <c:auto val="1"/>
        <c:lblAlgn val="ctr"/>
        <c:lblOffset val="100"/>
        <c:noMultiLvlLbl val="0"/>
      </c:catAx>
      <c:valAx>
        <c:axId val="2731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41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5</xdr:row>
      <xdr:rowOff>133350</xdr:rowOff>
    </xdr:from>
    <xdr:to>
      <xdr:col>11</xdr:col>
      <xdr:colOff>396240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48135-1116-442E-A22F-2528B7291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73623A-E5E5-4D7F-B74C-1D0829EC8E0D}" name="Table1" displayName="Table1" ref="A1:F14" totalsRowShown="0" headerRowDxfId="11" dataDxfId="10" headerRowBorderDxfId="8" tableBorderDxfId="9" totalsRowBorderDxfId="7">
  <autoFilter ref="A1:F14" xr:uid="{854F13CD-297A-4EF3-91D5-0CACE37F07FA}"/>
  <tableColumns count="6">
    <tableColumn id="1" xr3:uid="{D0A554BD-583C-4315-9BFF-07E90847ABF9}" name="ticket_id" dataDxfId="6"/>
    <tableColumn id="2" xr3:uid="{097E469F-7298-4744-883A-37F18C208562}" name="month" dataDxfId="5"/>
    <tableColumn id="3" xr3:uid="{E8449948-76EF-4EC7-B769-41E75FEA4555}" name="team_id" dataDxfId="4"/>
    <tableColumn id="4" xr3:uid="{ABA9B03B-526F-4031-BBF2-86BC6C659A46}" name="channel" dataDxfId="3"/>
    <tableColumn id="5" xr3:uid="{E021BA06-D85B-4C23-914E-44D1A63EABA1}" name="resolution_hours" dataDxfId="2"/>
    <tableColumn id="6" xr3:uid="{A52DE2ED-7F52-4937-948A-12DE91C69C16}" name="satisfactio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CB6535-82C0-40D3-8290-F389E13421FE}" name="Table2" displayName="Table2" ref="A1:C5" totalsRowShown="0" headerRowDxfId="0">
  <autoFilter ref="A1:C5" xr:uid="{B5FE55D3-08AE-4F17-8728-E0A00CC13890}"/>
  <tableColumns count="3">
    <tableColumn id="1" xr3:uid="{E310D807-79A0-4D90-A1A6-FAA4974588DF}" name="team_id"/>
    <tableColumn id="2" xr3:uid="{8C02D827-C090-4188-BB4A-BD5DEAA89E1E}" name="team"/>
    <tableColumn id="3" xr3:uid="{7AFA61DC-799F-4E1B-86A2-BFA1ED3590FE}" name="depart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8AFF-FE64-43F1-8E84-C75F7C979A89}">
  <dimension ref="A1:F14"/>
  <sheetViews>
    <sheetView tabSelected="1" workbookViewId="0">
      <selection activeCell="E19" sqref="E19"/>
    </sheetView>
  </sheetViews>
  <sheetFormatPr defaultRowHeight="14.4" x14ac:dyDescent="0.3"/>
  <cols>
    <col min="1" max="1" width="17.21875" customWidth="1"/>
    <col min="2" max="2" width="13.5546875" customWidth="1"/>
    <col min="3" max="3" width="15.6640625" customWidth="1"/>
    <col min="4" max="4" width="14" customWidth="1"/>
    <col min="5" max="5" width="24.77734375" customWidth="1"/>
    <col min="6" max="6" width="17.33203125" customWidth="1"/>
  </cols>
  <sheetData>
    <row r="1" spans="1:6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7">
        <v>1</v>
      </c>
      <c r="B2" s="9" t="s">
        <v>6</v>
      </c>
      <c r="C2" s="9" t="s">
        <v>7</v>
      </c>
      <c r="D2" s="9" t="s">
        <v>8</v>
      </c>
      <c r="E2" s="9">
        <v>12</v>
      </c>
      <c r="F2" s="10">
        <v>4</v>
      </c>
    </row>
    <row r="3" spans="1:6" x14ac:dyDescent="0.3">
      <c r="A3" s="1">
        <v>2</v>
      </c>
      <c r="B3" s="2" t="s">
        <v>6</v>
      </c>
      <c r="C3" s="2" t="s">
        <v>9</v>
      </c>
      <c r="D3" s="2" t="s">
        <v>10</v>
      </c>
      <c r="E3" s="2">
        <v>28</v>
      </c>
      <c r="F3" s="3">
        <v>3</v>
      </c>
    </row>
    <row r="4" spans="1:6" x14ac:dyDescent="0.3">
      <c r="A4" s="1">
        <v>3</v>
      </c>
      <c r="B4" s="2" t="s">
        <v>6</v>
      </c>
      <c r="C4" s="2" t="s">
        <v>11</v>
      </c>
      <c r="D4" s="2" t="s">
        <v>12</v>
      </c>
      <c r="E4" s="2">
        <v>36</v>
      </c>
      <c r="F4" s="3">
        <v>2</v>
      </c>
    </row>
    <row r="5" spans="1:6" x14ac:dyDescent="0.3">
      <c r="A5" s="1">
        <v>4</v>
      </c>
      <c r="B5" s="2" t="s">
        <v>6</v>
      </c>
      <c r="C5" s="2" t="s">
        <v>13</v>
      </c>
      <c r="D5" s="2" t="s">
        <v>8</v>
      </c>
      <c r="E5" s="2">
        <v>20</v>
      </c>
      <c r="F5" s="3">
        <v>4</v>
      </c>
    </row>
    <row r="6" spans="1:6" x14ac:dyDescent="0.3">
      <c r="A6" s="1">
        <v>5</v>
      </c>
      <c r="B6" s="2" t="s">
        <v>14</v>
      </c>
      <c r="C6" s="2" t="s">
        <v>7</v>
      </c>
      <c r="D6" s="2" t="s">
        <v>10</v>
      </c>
      <c r="E6" s="2">
        <v>8</v>
      </c>
      <c r="F6" s="3">
        <v>5</v>
      </c>
    </row>
    <row r="7" spans="1:6" x14ac:dyDescent="0.3">
      <c r="A7" s="1">
        <v>6</v>
      </c>
      <c r="B7" s="2" t="s">
        <v>14</v>
      </c>
      <c r="C7" s="2" t="s">
        <v>9</v>
      </c>
      <c r="D7" s="2" t="s">
        <v>12</v>
      </c>
      <c r="E7" s="2">
        <v>30</v>
      </c>
      <c r="F7" s="3">
        <v>3</v>
      </c>
    </row>
    <row r="8" spans="1:6" x14ac:dyDescent="0.3">
      <c r="A8" s="1">
        <v>7</v>
      </c>
      <c r="B8" s="2" t="s">
        <v>14</v>
      </c>
      <c r="C8" s="2" t="s">
        <v>11</v>
      </c>
      <c r="D8" s="2" t="s">
        <v>8</v>
      </c>
      <c r="E8" s="2">
        <v>18</v>
      </c>
      <c r="F8" s="3">
        <v>4</v>
      </c>
    </row>
    <row r="9" spans="1:6" x14ac:dyDescent="0.3">
      <c r="A9" s="1">
        <v>8</v>
      </c>
      <c r="B9" s="2" t="s">
        <v>14</v>
      </c>
      <c r="C9" s="2" t="s">
        <v>13</v>
      </c>
      <c r="D9" s="2" t="s">
        <v>10</v>
      </c>
      <c r="E9" s="2">
        <v>40</v>
      </c>
      <c r="F9" s="3">
        <v>2</v>
      </c>
    </row>
    <row r="10" spans="1:6" x14ac:dyDescent="0.3">
      <c r="A10" s="1">
        <v>9</v>
      </c>
      <c r="B10" s="2" t="s">
        <v>15</v>
      </c>
      <c r="C10" s="2" t="s">
        <v>7</v>
      </c>
      <c r="D10" s="2" t="s">
        <v>12</v>
      </c>
      <c r="E10" s="2">
        <v>16</v>
      </c>
      <c r="F10" s="3">
        <v>4</v>
      </c>
    </row>
    <row r="11" spans="1:6" x14ac:dyDescent="0.3">
      <c r="A11" s="1">
        <v>10</v>
      </c>
      <c r="B11" s="2" t="s">
        <v>15</v>
      </c>
      <c r="C11" s="2" t="s">
        <v>9</v>
      </c>
      <c r="D11" s="2" t="s">
        <v>8</v>
      </c>
      <c r="E11" s="2">
        <v>22</v>
      </c>
      <c r="F11" s="3">
        <v>4</v>
      </c>
    </row>
    <row r="12" spans="1:6" x14ac:dyDescent="0.3">
      <c r="A12" s="1">
        <v>11</v>
      </c>
      <c r="B12" s="2" t="s">
        <v>15</v>
      </c>
      <c r="C12" s="2" t="s">
        <v>11</v>
      </c>
      <c r="D12" s="2" t="s">
        <v>10</v>
      </c>
      <c r="E12" s="2">
        <v>32</v>
      </c>
      <c r="F12" s="3">
        <v>3</v>
      </c>
    </row>
    <row r="13" spans="1:6" x14ac:dyDescent="0.3">
      <c r="A13" s="1">
        <v>12</v>
      </c>
      <c r="B13" s="2" t="s">
        <v>15</v>
      </c>
      <c r="C13" s="2" t="s">
        <v>13</v>
      </c>
      <c r="D13" s="2" t="s">
        <v>12</v>
      </c>
      <c r="E13" s="2">
        <v>24</v>
      </c>
      <c r="F13" s="3">
        <v>5</v>
      </c>
    </row>
    <row r="14" spans="1:6" x14ac:dyDescent="0.3">
      <c r="A14" s="4">
        <v>12</v>
      </c>
      <c r="B14" s="5" t="s">
        <v>15</v>
      </c>
      <c r="C14" s="5" t="s">
        <v>13</v>
      </c>
      <c r="D14" s="5" t="s">
        <v>12</v>
      </c>
      <c r="E14" s="5">
        <v>24</v>
      </c>
      <c r="F14" s="6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B3A3-AC3E-4B91-8E62-F9488EF757AA}">
  <dimension ref="A1:C5"/>
  <sheetViews>
    <sheetView workbookViewId="0">
      <selection activeCell="B11" sqref="B11"/>
    </sheetView>
  </sheetViews>
  <sheetFormatPr defaultRowHeight="14.4" x14ac:dyDescent="0.3"/>
  <cols>
    <col min="1" max="1" width="13" customWidth="1"/>
    <col min="2" max="2" width="13.44140625" customWidth="1"/>
    <col min="3" max="3" width="15.21875" customWidth="1"/>
  </cols>
  <sheetData>
    <row r="1" spans="1:3" x14ac:dyDescent="0.3">
      <c r="A1" s="12" t="s">
        <v>2</v>
      </c>
      <c r="B1" s="12" t="s">
        <v>16</v>
      </c>
      <c r="C1" s="12" t="s">
        <v>17</v>
      </c>
    </row>
    <row r="2" spans="1:3" x14ac:dyDescent="0.3">
      <c r="A2" t="s">
        <v>7</v>
      </c>
      <c r="B2" t="s">
        <v>18</v>
      </c>
      <c r="C2" t="s">
        <v>19</v>
      </c>
    </row>
    <row r="3" spans="1:3" x14ac:dyDescent="0.3">
      <c r="A3" t="s">
        <v>9</v>
      </c>
      <c r="B3" t="s">
        <v>20</v>
      </c>
      <c r="C3" t="s">
        <v>19</v>
      </c>
    </row>
    <row r="4" spans="1:3" x14ac:dyDescent="0.3">
      <c r="A4" t="s">
        <v>11</v>
      </c>
      <c r="B4" t="s">
        <v>21</v>
      </c>
      <c r="C4" t="s">
        <v>22</v>
      </c>
    </row>
    <row r="5" spans="1:3" x14ac:dyDescent="0.3">
      <c r="A5" t="s">
        <v>13</v>
      </c>
      <c r="B5" t="s">
        <v>23</v>
      </c>
      <c r="C5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1762-961E-4D76-BFE5-DC68B8E344DD}">
  <dimension ref="A1:L13"/>
  <sheetViews>
    <sheetView workbookViewId="0">
      <selection activeCell="L4" sqref="L4"/>
    </sheetView>
  </sheetViews>
  <sheetFormatPr defaultRowHeight="14.4" x14ac:dyDescent="0.3"/>
  <cols>
    <col min="1" max="1" width="11.5546875" customWidth="1"/>
    <col min="5" max="5" width="18.88671875" customWidth="1"/>
    <col min="6" max="6" width="11" customWidth="1"/>
    <col min="7" max="7" width="11.88671875" customWidth="1"/>
    <col min="8" max="8" width="12.77734375" customWidth="1"/>
  </cols>
  <sheetData>
    <row r="1" spans="1:12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17</v>
      </c>
      <c r="H1" s="13" t="s">
        <v>28</v>
      </c>
      <c r="I1" s="11"/>
      <c r="J1" s="11"/>
      <c r="K1" s="13" t="s">
        <v>27</v>
      </c>
      <c r="L1" s="13"/>
    </row>
    <row r="2" spans="1:1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12</v>
      </c>
      <c r="F2" s="2">
        <v>4</v>
      </c>
      <c r="G2" s="2" t="str">
        <f>VLOOKUP(C2,'Lookup sheet'!$A$2:$C$5,3,FALSE)</f>
        <v>Service</v>
      </c>
      <c r="H2" s="2">
        <f>IF(E2&gt;24,1,0)</f>
        <v>0</v>
      </c>
      <c r="K2" s="2" t="s">
        <v>26</v>
      </c>
      <c r="L2" s="2">
        <f>ROWS(Clean!A2:F14)</f>
        <v>13</v>
      </c>
    </row>
    <row r="3" spans="1:12" x14ac:dyDescent="0.3">
      <c r="A3" s="2">
        <v>2</v>
      </c>
      <c r="B3" s="2" t="s">
        <v>6</v>
      </c>
      <c r="C3" s="2" t="s">
        <v>9</v>
      </c>
      <c r="D3" s="2" t="s">
        <v>10</v>
      </c>
      <c r="E3" s="2">
        <v>28</v>
      </c>
      <c r="F3" s="2">
        <v>3</v>
      </c>
      <c r="G3" s="2" t="str">
        <f>VLOOKUP(C3,'Lookup sheet'!$A$2:$C$5,3,FALSE)</f>
        <v>Service</v>
      </c>
      <c r="H3" s="2">
        <f>IF(E3&gt;24,1,0)</f>
        <v>1</v>
      </c>
      <c r="K3" s="2" t="s">
        <v>25</v>
      </c>
      <c r="L3" s="2">
        <f>ROWS(A2:H13)</f>
        <v>12</v>
      </c>
    </row>
    <row r="4" spans="1:12" x14ac:dyDescent="0.3">
      <c r="A4" s="2">
        <v>3</v>
      </c>
      <c r="B4" s="2" t="s">
        <v>6</v>
      </c>
      <c r="C4" s="2" t="s">
        <v>11</v>
      </c>
      <c r="D4" s="2" t="s">
        <v>12</v>
      </c>
      <c r="E4" s="2">
        <v>36</v>
      </c>
      <c r="F4" s="2">
        <v>2</v>
      </c>
      <c r="G4" s="2" t="str">
        <f>VLOOKUP(C4,'Lookup sheet'!$A$2:$C$5,3,FALSE)</f>
        <v>Technical</v>
      </c>
      <c r="H4" s="2">
        <f>IF(E4&gt;24,1,0)</f>
        <v>1</v>
      </c>
    </row>
    <row r="5" spans="1:12" x14ac:dyDescent="0.3">
      <c r="A5" s="2">
        <v>4</v>
      </c>
      <c r="B5" s="2" t="s">
        <v>6</v>
      </c>
      <c r="C5" s="2" t="s">
        <v>13</v>
      </c>
      <c r="D5" s="2" t="s">
        <v>8</v>
      </c>
      <c r="E5" s="2">
        <v>20</v>
      </c>
      <c r="F5" s="2">
        <v>4</v>
      </c>
      <c r="G5" s="2" t="str">
        <f>VLOOKUP(C5,'Lookup sheet'!$A$2:$C$5,3,FALSE)</f>
        <v>Technical</v>
      </c>
      <c r="H5" s="2">
        <f>IF(E5&gt;24,1,0)</f>
        <v>0</v>
      </c>
    </row>
    <row r="6" spans="1:12" x14ac:dyDescent="0.3">
      <c r="A6" s="2">
        <v>5</v>
      </c>
      <c r="B6" s="2" t="s">
        <v>14</v>
      </c>
      <c r="C6" s="2" t="s">
        <v>7</v>
      </c>
      <c r="D6" s="2" t="s">
        <v>10</v>
      </c>
      <c r="E6" s="2">
        <v>8</v>
      </c>
      <c r="F6" s="2">
        <v>5</v>
      </c>
      <c r="G6" s="2" t="str">
        <f>VLOOKUP(C6,'Lookup sheet'!$A$2:$C$5,3,FALSE)</f>
        <v>Service</v>
      </c>
      <c r="H6" s="2">
        <f>IF(E6&gt;24,1,0)</f>
        <v>0</v>
      </c>
    </row>
    <row r="7" spans="1:12" x14ac:dyDescent="0.3">
      <c r="A7" s="2">
        <v>6</v>
      </c>
      <c r="B7" s="2" t="s">
        <v>14</v>
      </c>
      <c r="C7" s="2" t="s">
        <v>9</v>
      </c>
      <c r="D7" s="2" t="s">
        <v>12</v>
      </c>
      <c r="E7" s="2">
        <v>30</v>
      </c>
      <c r="F7" s="2">
        <v>3</v>
      </c>
      <c r="G7" s="2" t="str">
        <f>VLOOKUP(C7,'Lookup sheet'!$A$2:$C$5,3,FALSE)</f>
        <v>Service</v>
      </c>
      <c r="H7" s="2">
        <f>IF(E7&gt;24,1,0)</f>
        <v>1</v>
      </c>
    </row>
    <row r="8" spans="1:12" x14ac:dyDescent="0.3">
      <c r="A8" s="2">
        <v>7</v>
      </c>
      <c r="B8" s="2" t="s">
        <v>14</v>
      </c>
      <c r="C8" s="2" t="s">
        <v>11</v>
      </c>
      <c r="D8" s="2" t="s">
        <v>8</v>
      </c>
      <c r="E8" s="2">
        <v>18</v>
      </c>
      <c r="F8" s="2">
        <v>4</v>
      </c>
      <c r="G8" s="2" t="str">
        <f>VLOOKUP(C8,'Lookup sheet'!$A$2:$C$5,3,FALSE)</f>
        <v>Technical</v>
      </c>
      <c r="H8" s="2">
        <f>IF(E8&gt;24,1,0)</f>
        <v>0</v>
      </c>
    </row>
    <row r="9" spans="1:12" x14ac:dyDescent="0.3">
      <c r="A9" s="2">
        <v>8</v>
      </c>
      <c r="B9" s="2" t="s">
        <v>14</v>
      </c>
      <c r="C9" s="2" t="s">
        <v>13</v>
      </c>
      <c r="D9" s="2" t="s">
        <v>10</v>
      </c>
      <c r="E9" s="2">
        <v>40</v>
      </c>
      <c r="F9" s="2">
        <v>2</v>
      </c>
      <c r="G9" s="2" t="str">
        <f>VLOOKUP(C9,'Lookup sheet'!$A$2:$C$5,3,FALSE)</f>
        <v>Technical</v>
      </c>
      <c r="H9" s="2">
        <f>IF(E9&gt;24,1,0)</f>
        <v>1</v>
      </c>
    </row>
    <row r="10" spans="1:12" x14ac:dyDescent="0.3">
      <c r="A10" s="2">
        <v>9</v>
      </c>
      <c r="B10" s="2" t="s">
        <v>15</v>
      </c>
      <c r="C10" s="2" t="s">
        <v>7</v>
      </c>
      <c r="D10" s="2" t="s">
        <v>12</v>
      </c>
      <c r="E10" s="2">
        <v>16</v>
      </c>
      <c r="F10" s="2">
        <v>4</v>
      </c>
      <c r="G10" s="2" t="str">
        <f>VLOOKUP(C10,'Lookup sheet'!$A$2:$C$5,3,FALSE)</f>
        <v>Service</v>
      </c>
      <c r="H10" s="2">
        <f>IF(E10&gt;24,1,0)</f>
        <v>0</v>
      </c>
    </row>
    <row r="11" spans="1:12" x14ac:dyDescent="0.3">
      <c r="A11" s="2">
        <v>10</v>
      </c>
      <c r="B11" s="2" t="s">
        <v>15</v>
      </c>
      <c r="C11" s="2" t="s">
        <v>9</v>
      </c>
      <c r="D11" s="2" t="s">
        <v>8</v>
      </c>
      <c r="E11" s="2">
        <v>22</v>
      </c>
      <c r="F11" s="2">
        <v>4</v>
      </c>
      <c r="G11" s="2" t="str">
        <f>VLOOKUP(C11,'Lookup sheet'!$A$2:$C$5,3,FALSE)</f>
        <v>Service</v>
      </c>
      <c r="H11" s="2">
        <f>IF(E11&gt;24,1,0)</f>
        <v>0</v>
      </c>
    </row>
    <row r="12" spans="1:12" x14ac:dyDescent="0.3">
      <c r="A12" s="2">
        <v>11</v>
      </c>
      <c r="B12" s="2" t="s">
        <v>15</v>
      </c>
      <c r="C12" s="2" t="s">
        <v>11</v>
      </c>
      <c r="D12" s="2" t="s">
        <v>10</v>
      </c>
      <c r="E12" s="2">
        <v>32</v>
      </c>
      <c r="F12" s="2">
        <v>3</v>
      </c>
      <c r="G12" s="2" t="str">
        <f>VLOOKUP(C12,'Lookup sheet'!$A$2:$C$5,3,FALSE)</f>
        <v>Technical</v>
      </c>
      <c r="H12" s="2">
        <f>IF(E12&gt;24,1,0)</f>
        <v>1</v>
      </c>
    </row>
    <row r="13" spans="1:12" x14ac:dyDescent="0.3">
      <c r="A13" s="2">
        <v>12</v>
      </c>
      <c r="B13" s="2" t="s">
        <v>15</v>
      </c>
      <c r="C13" s="2" t="s">
        <v>13</v>
      </c>
      <c r="D13" s="2" t="s">
        <v>12</v>
      </c>
      <c r="E13" s="2">
        <v>24</v>
      </c>
      <c r="F13" s="2">
        <v>5</v>
      </c>
      <c r="G13" s="2" t="str">
        <f>VLOOKUP(C13,'Lookup sheet'!$A$2:$C$5,3,FALSE)</f>
        <v>Technical</v>
      </c>
      <c r="H13" s="2">
        <f>IF(E13&gt;24,1,0)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F4AD-A3D7-4964-96D8-FF3F909E9FEF}">
  <dimension ref="A1:G4"/>
  <sheetViews>
    <sheetView workbookViewId="0">
      <selection activeCell="N14" sqref="N14"/>
    </sheetView>
  </sheetViews>
  <sheetFormatPr defaultRowHeight="14.4" x14ac:dyDescent="0.3"/>
  <cols>
    <col min="1" max="1" width="26.88671875" customWidth="1"/>
    <col min="2" max="2" width="11.109375" customWidth="1"/>
    <col min="3" max="3" width="10.6640625" customWidth="1"/>
    <col min="4" max="4" width="12.109375" customWidth="1"/>
    <col min="5" max="5" width="12.5546875" customWidth="1"/>
    <col min="6" max="6" width="10.6640625" customWidth="1"/>
    <col min="7" max="7" width="11.33203125" customWidth="1"/>
  </cols>
  <sheetData>
    <row r="1" spans="1:7" x14ac:dyDescent="0.3">
      <c r="A1" s="11" t="s">
        <v>31</v>
      </c>
      <c r="B1" s="11" t="s">
        <v>30</v>
      </c>
      <c r="C1" s="11"/>
      <c r="D1" s="11" t="s">
        <v>29</v>
      </c>
      <c r="E1" s="11"/>
      <c r="F1" s="11"/>
      <c r="G1" s="11"/>
    </row>
    <row r="2" spans="1:7" x14ac:dyDescent="0.3">
      <c r="A2" t="s">
        <v>8</v>
      </c>
      <c r="B2">
        <f>COUNTIFS(Clean!$D$2:$D$13,A2,Clean!$H$2:$H$13,1)</f>
        <v>0</v>
      </c>
      <c r="D2" t="s">
        <v>24</v>
      </c>
      <c r="E2" t="s">
        <v>6</v>
      </c>
      <c r="F2" t="s">
        <v>14</v>
      </c>
      <c r="G2" t="s">
        <v>15</v>
      </c>
    </row>
    <row r="3" spans="1:7" x14ac:dyDescent="0.3">
      <c r="A3" t="s">
        <v>10</v>
      </c>
      <c r="B3">
        <f>COUNTIFS(Clean!$D$2:$D$13,A3,Clean!$H$2:$H$13,1)</f>
        <v>3</v>
      </c>
      <c r="D3" t="s">
        <v>19</v>
      </c>
      <c r="E3">
        <f>AVERAGEIFS(Clean!$E$2:$E$13,Clean!$G$2:$G$13,$D3,Clean!$B$2:$B$13,E$2)</f>
        <v>20</v>
      </c>
      <c r="F3">
        <f>AVERAGEIFS(Clean!$E$2:$E$13,Clean!$G$2:$G$13,$D3,Clean!$B$2:$B$13,F$2)</f>
        <v>19</v>
      </c>
      <c r="G3">
        <f>AVERAGEIFS(Clean!$E$2:$E$13,Clean!$G$2:$G$13,$D3,Clean!$B$2:$B$13,G$2)</f>
        <v>19</v>
      </c>
    </row>
    <row r="4" spans="1:7" x14ac:dyDescent="0.3">
      <c r="A4" t="s">
        <v>12</v>
      </c>
      <c r="B4">
        <f>COUNTIFS(Clean!$D$2:$D$13,A4,Clean!$H$2:$H$13,1)</f>
        <v>2</v>
      </c>
      <c r="D4" t="s">
        <v>22</v>
      </c>
      <c r="E4">
        <f>AVERAGEIFS(Clean!$E$2:$E$13,Clean!$G$2:$G$13,$D4,Clean!$B$2:$B$13,E$2)</f>
        <v>28</v>
      </c>
      <c r="F4">
        <f>AVERAGEIFS(Clean!$E$2:$E$13,Clean!$G$2:$G$13,$D4,Clean!$B$2:$B$13,F$2)</f>
        <v>29</v>
      </c>
      <c r="G4">
        <f>AVERAGEIFS(Clean!$E$12:$E$13,Clean!$G$12:$G$13,D4,Clean!$B$12:$B$13,G$2)</f>
        <v>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F0F15-7F39-4ADE-9AE5-D67D8E5F47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sheet</vt:lpstr>
      <vt:lpstr>Lookup sheet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Yadav</dc:creator>
  <cp:lastModifiedBy>Anil Yadav</cp:lastModifiedBy>
  <dcterms:created xsi:type="dcterms:W3CDTF">2026-09-26T04:40:37Z</dcterms:created>
  <dcterms:modified xsi:type="dcterms:W3CDTF">2026-09-26T08:17:02Z</dcterms:modified>
</cp:coreProperties>
</file>